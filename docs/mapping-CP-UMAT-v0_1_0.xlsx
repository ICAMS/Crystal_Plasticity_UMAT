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/Codes/cp-work/docs/"/>
    </mc:Choice>
  </mc:AlternateContent>
  <xr:revisionPtr revIDLastSave="0" documentId="13_ncr:1_{5CB9CA69-6DE6-E943-80D3-C7FD81626201}" xr6:coauthVersionLast="47" xr6:coauthVersionMax="47" xr10:uidLastSave="{00000000-0000-0000-0000-000000000000}"/>
  <bookViews>
    <workbookView xWindow="4500" yWindow="600" windowWidth="32660" windowHeight="22500" xr2:uid="{F6D303D3-FE54-0941-A8EF-5C38FE1C9753}"/>
  </bookViews>
  <sheets>
    <sheet name="mapping" sheetId="1" r:id="rId1"/>
  </sheets>
  <definedNames>
    <definedName name="dummy" localSheetId="0">mapping!$B$46:$L$48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BA1C0-F4F6-F043-B6E9-A2D498C40E65}" name="dummy" type="6" refreshedVersion="8" deleted="1" background="1" saveData="1">
    <textPr sourceFile="/Volumes/Extern/Codes/cp-work/examples/Mat_data_Read/dummy.txt" decimal="," thousands=".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<sst xmlns="http://schemas.openxmlformats.org/spreadsheetml/2006/main" count="538" uniqueCount="182">
  <si>
    <t>N_slip</t>
  </si>
  <si>
    <t>c11</t>
  </si>
  <si>
    <t>c12</t>
  </si>
  <si>
    <t>c44</t>
  </si>
  <si>
    <t>shrt0</t>
  </si>
  <si>
    <t>pwfl</t>
  </si>
  <si>
    <t>pwhd</t>
  </si>
  <si>
    <t>crss0</t>
  </si>
  <si>
    <t>crsss</t>
  </si>
  <si>
    <t>hdrt0</t>
  </si>
  <si>
    <t>c_cpl</t>
  </si>
  <si>
    <t>c_oth</t>
  </si>
  <si>
    <t>Adir</t>
  </si>
  <si>
    <t>Adyn</t>
  </si>
  <si>
    <t>A2</t>
  </si>
  <si>
    <t>B2</t>
  </si>
  <si>
    <t>A3</t>
  </si>
  <si>
    <t>B3</t>
  </si>
  <si>
    <t>M_OW</t>
  </si>
  <si>
    <t>n_slp</t>
  </si>
  <si>
    <t>number_slip_systems</t>
  </si>
  <si>
    <t>reference_shear_rate</t>
  </si>
  <si>
    <t>initial_critical_resolved_shear_stress</t>
  </si>
  <si>
    <t>saturated_slip_resistance</t>
  </si>
  <si>
    <t>reference_hardening_rate</t>
  </si>
  <si>
    <t>hardening_exponent</t>
  </si>
  <si>
    <t>cross_hardening</t>
  </si>
  <si>
    <t>C11</t>
  </si>
  <si>
    <t>C12</t>
  </si>
  <si>
    <t>C44</t>
  </si>
  <si>
    <t>ohno_wang_exponent</t>
  </si>
  <si>
    <t>stress_exponent</t>
  </si>
  <si>
    <t>activation_energy</t>
  </si>
  <si>
    <t>self_hardening</t>
  </si>
  <si>
    <t>unit</t>
  </si>
  <si>
    <t>-</t>
  </si>
  <si>
    <t>MPa</t>
  </si>
  <si>
    <t>1/s</t>
  </si>
  <si>
    <t>kJ / mol</t>
  </si>
  <si>
    <t>chaboche_parameter_a2</t>
  </si>
  <si>
    <t>chaboche_parameter_b2</t>
  </si>
  <si>
    <t>chaboche_parameter_a3</t>
  </si>
  <si>
    <t>chaboche_parameter_b3</t>
  </si>
  <si>
    <t>Iwkcoup_trip</t>
  </si>
  <si>
    <t>Iwkcoup_grad</t>
  </si>
  <si>
    <t>Iwkcoup_int</t>
  </si>
  <si>
    <t>Iwkcoup_sup</t>
  </si>
  <si>
    <t>Iwkcoup_bk</t>
  </si>
  <si>
    <t>flag_trip</t>
  </si>
  <si>
    <t>flag_back_stress</t>
  </si>
  <si>
    <t>flag_super_alloy</t>
  </si>
  <si>
    <t>flag_int</t>
  </si>
  <si>
    <t>flag_gradient_plasticity</t>
  </si>
  <si>
    <t>flag for TRIP effect (0: off, 1: active)</t>
  </si>
  <si>
    <t>flag for strain gradient plasticity (0: off, 1: active)</t>
  </si>
  <si>
    <t>flag for internal stress (superalloys) (0: off, 1: active)</t>
  </si>
  <si>
    <t>flag for superalloy(0: off, 1: active)</t>
  </si>
  <si>
    <t>nslip_kinematic_hardening</t>
  </si>
  <si>
    <t>anisotropic elastic coefficient</t>
  </si>
  <si>
    <t>fortran_type</t>
  </si>
  <si>
    <t>integer</t>
  </si>
  <si>
    <t>real</t>
  </si>
  <si>
    <t>default_value</t>
  </si>
  <si>
    <t>comment</t>
  </si>
  <si>
    <t>Order</t>
  </si>
  <si>
    <t>orowan_stress</t>
  </si>
  <si>
    <t>crss_oro</t>
  </si>
  <si>
    <t>self_hardening_climb</t>
  </si>
  <si>
    <t>c_cplc</t>
  </si>
  <si>
    <t>cross_hardening_climb</t>
  </si>
  <si>
    <t>c_othc</t>
  </si>
  <si>
    <t>flag_octree</t>
  </si>
  <si>
    <t>Ioct_search</t>
  </si>
  <si>
    <t>I_gnd_iso</t>
  </si>
  <si>
    <t xml:space="preserve"> I_gnd_kin</t>
  </si>
  <si>
    <t>C_taui</t>
  </si>
  <si>
    <t>L_size</t>
  </si>
  <si>
    <t>C_unit</t>
  </si>
  <si>
    <t>B_lattice</t>
  </si>
  <si>
    <t>.</t>
  </si>
  <si>
    <t>gradient plasticity: Taylor hardening parameter</t>
  </si>
  <si>
    <t>gradient plasticity; 1: consider isotropic GND hardening; 0: not considered</t>
  </si>
  <si>
    <t>gradient plasticity; 1: consider kinematic GND hardening; 0: not considered</t>
  </si>
  <si>
    <t>gradient plasticity: intrinsic length scale</t>
  </si>
  <si>
    <t>m</t>
  </si>
  <si>
    <t>gradient plasticity: parameter</t>
  </si>
  <si>
    <t>gradient plasticity: Burgers vector norm</t>
  </si>
  <si>
    <t>isotropic hardening: saturated slip resistance</t>
  </si>
  <si>
    <t>isotropic hardening: reference strain hardening rate</t>
  </si>
  <si>
    <t>isotropic hardening: self-hardening coefficient</t>
  </si>
  <si>
    <t>isotropic hardening: cross-hardening coefficient</t>
  </si>
  <si>
    <t>isotropic hardening: hardening exponent</t>
  </si>
  <si>
    <t>kinematic hardening : number of effective slip systems</t>
  </si>
  <si>
    <t>kinematic hardening: Ohno-Wang hardening exponent</t>
  </si>
  <si>
    <t>kinematic hardening: Chaboche parameter A2</t>
  </si>
  <si>
    <t>kinematic hardening: Chaboche parameter B2</t>
  </si>
  <si>
    <t>kinematic hardening: Chaboche parameter A3</t>
  </si>
  <si>
    <t>kinematic hardening: Chaboche parameter B3</t>
  </si>
  <si>
    <t>temperature dependent slip: activation energy for dislocation slip</t>
  </si>
  <si>
    <t>superalloy: latent hardening coefficient for climb mechanism</t>
  </si>
  <si>
    <t>superalloy: self hardening coefficient for climb mechanism</t>
  </si>
  <si>
    <t>flow rule: number of slip systems</t>
  </si>
  <si>
    <t>flow rule:reference shear rate</t>
  </si>
  <si>
    <t>flow rule: inverse of strain rate sensitivity</t>
  </si>
  <si>
    <t>flow rule: initial critical resolved shear stress</t>
  </si>
  <si>
    <t>block</t>
  </si>
  <si>
    <t>access_mode</t>
  </si>
  <si>
    <t>always</t>
  </si>
  <si>
    <t>conditional</t>
  </si>
  <si>
    <t>active_if</t>
  </si>
  <si>
    <t>required_if</t>
  </si>
  <si>
    <t>since_version</t>
  </si>
  <si>
    <t>superalloy: Orowan stress contribution to channel glide</t>
  </si>
  <si>
    <t>optional</t>
  </si>
  <si>
    <t>Qact</t>
  </si>
  <si>
    <t>flag_isotropic_hardening</t>
  </si>
  <si>
    <t>Ihard_iso</t>
  </si>
  <si>
    <t>flag for isotropic hardening</t>
  </si>
  <si>
    <t>flag for back stress / kinematic hardening (0: None, 1: Frederick-Armstrong, 2: Chaboche, 3: Ohno-Wang</t>
  </si>
  <si>
    <t>flag_thermal</t>
  </si>
  <si>
    <t>Iwkcoup_temp</t>
  </si>
  <si>
    <t>flag to activate temperature dependent parameters</t>
  </si>
  <si>
    <t>space_group_number</t>
  </si>
  <si>
    <t>never</t>
  </si>
  <si>
    <t>space group number for generic material models (legacy: material_id for specific pre-defined materials)</t>
  </si>
  <si>
    <t>gradient plasticity: flag for octree search for mapping of fem mesh to fft grid</t>
  </si>
  <si>
    <t>MPa / K</t>
  </si>
  <si>
    <t>temperature dependent slip: slope of critical resolved shear stress w.r.t. temperature</t>
  </si>
  <si>
    <t>temperature dependent slip: slope of kinematic hardening parameter w.r.t. temperature</t>
  </si>
  <si>
    <t>flags</t>
  </si>
  <si>
    <t>metadata</t>
  </si>
  <si>
    <t>0.1.0</t>
  </si>
  <si>
    <t>iso_mode &gt; 0</t>
  </si>
  <si>
    <t>kin_mode &gt; 0</t>
  </si>
  <si>
    <t>kin_mode == 2</t>
  </si>
  <si>
    <t>superalloy</t>
  </si>
  <si>
    <t>gradient</t>
  </si>
  <si>
    <t>thermal</t>
  </si>
  <si>
    <t>super_mode == 1</t>
  </si>
  <si>
    <t>grad_mode == 1</t>
  </si>
  <si>
    <t>thermal_mode == 1</t>
  </si>
  <si>
    <t>kinematic_hardening_a1</t>
  </si>
  <si>
    <t>kinematic_hardening_b1</t>
  </si>
  <si>
    <t>kinematic hardening: parameter A (FA, Cahb and OW model)</t>
  </si>
  <si>
    <t>kinematic hardening: parameter B (FA, Chab and OW model)</t>
  </si>
  <si>
    <t>kin_mode  &gt; 0</t>
  </si>
  <si>
    <t>kin_mode == 3</t>
  </si>
  <si>
    <t>spc_grp</t>
  </si>
  <si>
    <t>elastic</t>
  </si>
  <si>
    <t>C13</t>
  </si>
  <si>
    <t>C33</t>
  </si>
  <si>
    <t>C66</t>
  </si>
  <si>
    <t>flow_rule</t>
  </si>
  <si>
    <t>iso_hardening</t>
  </si>
  <si>
    <t>kin_hardening</t>
  </si>
  <si>
    <t>number_slip_families</t>
  </si>
  <si>
    <t>N_fam</t>
  </si>
  <si>
    <t>integer(N_fam)</t>
  </si>
  <si>
    <t>real(N_fam)</t>
  </si>
  <si>
    <t>N_tpoly</t>
  </si>
  <si>
    <t>temperature_polynomial_degree</t>
  </si>
  <si>
    <t>temperature dependent slip: degree of polynomials describing temperature dependence</t>
  </si>
  <si>
    <t>real(N_fam, N_tpoly)</t>
  </si>
  <si>
    <t>json_key (MiMeDat)</t>
  </si>
  <si>
    <t>fortran_variable (ICAMS CP-UMAT)</t>
  </si>
  <si>
    <t>c11_tcoeff</t>
  </si>
  <si>
    <t>c12_tcoeff</t>
  </si>
  <si>
    <t>c44_tcoeff</t>
  </si>
  <si>
    <t>stress_exponent_tcoeff</t>
  </si>
  <si>
    <t>crss0_coef_tcoeff</t>
  </si>
  <si>
    <t>crss_sat_tcoeff</t>
  </si>
  <si>
    <t>hardening_rate_tcoeff</t>
  </si>
  <si>
    <t>hardening_exponent_tcoeff</t>
  </si>
  <si>
    <t>kinematic_hardening_a1_tcoeff</t>
  </si>
  <si>
    <t>kinematic_hardening_b1_tcoeff</t>
  </si>
  <si>
    <t>1 / K</t>
  </si>
  <si>
    <t>flow_rule: number of slip system families</t>
  </si>
  <si>
    <t>temperature dependent slip: coefficients of polynomial for temperature dependence of elastic coefficient</t>
  </si>
  <si>
    <t>temperature dependent slip: coefficients of polynomial for temperature dependence of stress exponent</t>
  </si>
  <si>
    <t>crss0_tcoeff</t>
  </si>
  <si>
    <t>Adir_tcoeff</t>
  </si>
  <si>
    <t>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</si>
</sst>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wrapText="1"/>
    </xf>
    <xf numFmtId="0" fontId="3" fillId="0" borderId="0" xfId="0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0" fontId="4" fillId="0" borderId="0" xfId="0" applyFont="1" applyAlignment="1">
      <alignment wrapText="1"/>
    </xf>
    <xf numFmtId="11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ummy" connectionId="1" xr16:uid="{4103848D-1746-EB45-B093-17051E5176C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7819-89FB-E84D-BF28-AA51883D9CA2}">
  <dimension ref="A1:L5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RowHeight="16" x14ac:dyDescent="0.2"/>
  <cols>
    <col min="1" max="1" width="5.83203125" bestFit="1" customWidth="1"/>
    <col min="2" max="2" width="43.5" bestFit="1" customWidth="1"/>
    <col min="3" max="3" width="18.33203125" customWidth="1"/>
    <col min="4" max="4" width="19.33203125" customWidth="1"/>
    <col min="5" max="5" width="12" bestFit="1" customWidth="1"/>
    <col min="6" max="6" width="14.83203125" customWidth="1"/>
    <col min="7" max="7" width="14.1640625" customWidth="1"/>
    <col min="8" max="8" width="19" customWidth="1"/>
    <col min="9" max="9" width="20.5" customWidth="1"/>
    <col min="10" max="10" width="8.33203125" customWidth="1"/>
    <col min="11" max="11" width="14.33203125" customWidth="1"/>
    <col min="12" max="12" width="87.5" customWidth="1"/>
  </cols>
  <sheetData>
    <row r="1" spans="1:12" s="1" customFormat="1" ht="34" x14ac:dyDescent="0.2">
      <c r="A1" s="1" t="s">
        <v>64</v>
      </c>
      <c r="B1" s="1" t="s">
        <v>163</v>
      </c>
      <c r="C1" s="1" t="s">
        <v>59</v>
      </c>
      <c r="D1" s="1" t="s">
        <v>164</v>
      </c>
      <c r="E1" s="1" t="s">
        <v>62</v>
      </c>
      <c r="F1" s="1" t="s">
        <v>105</v>
      </c>
      <c r="G1" s="1" t="s">
        <v>106</v>
      </c>
      <c r="H1" s="1" t="s">
        <v>110</v>
      </c>
      <c r="I1" s="1" t="s">
        <v>109</v>
      </c>
      <c r="J1" s="1" t="s">
        <v>34</v>
      </c>
      <c r="K1" s="1" t="s">
        <v>111</v>
      </c>
      <c r="L1" s="1" t="s">
        <v>63</v>
      </c>
    </row>
    <row r="2" spans="1:12" s="3" customFormat="1" ht="17" x14ac:dyDescent="0.2">
      <c r="A2" s="5">
        <v>1</v>
      </c>
      <c r="B2" s="3" t="s">
        <v>115</v>
      </c>
      <c r="C2" s="3" t="s">
        <v>60</v>
      </c>
      <c r="D2" s="3" t="s">
        <v>116</v>
      </c>
      <c r="E2" s="5">
        <v>1</v>
      </c>
      <c r="F2" t="s">
        <v>129</v>
      </c>
      <c r="G2" t="s">
        <v>130</v>
      </c>
      <c r="H2" t="s">
        <v>107</v>
      </c>
      <c r="I2" t="s">
        <v>107</v>
      </c>
      <c r="J2" s="3" t="s">
        <v>35</v>
      </c>
      <c r="K2" t="s">
        <v>131</v>
      </c>
      <c r="L2" s="3" t="s">
        <v>117</v>
      </c>
    </row>
    <row r="3" spans="1:12" x14ac:dyDescent="0.2">
      <c r="A3">
        <f>A2+1</f>
        <v>2</v>
      </c>
      <c r="B3" t="s">
        <v>49</v>
      </c>
      <c r="C3" s="2" t="s">
        <v>60</v>
      </c>
      <c r="D3" t="s">
        <v>47</v>
      </c>
      <c r="E3">
        <v>0</v>
      </c>
      <c r="F3" t="s">
        <v>129</v>
      </c>
      <c r="G3" t="s">
        <v>130</v>
      </c>
      <c r="H3" t="s">
        <v>107</v>
      </c>
      <c r="I3" t="s">
        <v>107</v>
      </c>
      <c r="J3" t="s">
        <v>35</v>
      </c>
      <c r="K3" t="s">
        <v>131</v>
      </c>
      <c r="L3" t="s">
        <v>118</v>
      </c>
    </row>
    <row r="4" spans="1:12" x14ac:dyDescent="0.2">
      <c r="A4">
        <f t="shared" ref="A4:A19" si="0">A3+1</f>
        <v>3</v>
      </c>
      <c r="B4" t="s">
        <v>52</v>
      </c>
      <c r="C4" s="2" t="s">
        <v>60</v>
      </c>
      <c r="D4" t="s">
        <v>44</v>
      </c>
      <c r="E4">
        <v>0</v>
      </c>
      <c r="F4" t="s">
        <v>129</v>
      </c>
      <c r="G4" t="s">
        <v>130</v>
      </c>
      <c r="H4" t="s">
        <v>107</v>
      </c>
      <c r="I4" t="s">
        <v>107</v>
      </c>
      <c r="J4" t="s">
        <v>35</v>
      </c>
      <c r="K4" t="s">
        <v>131</v>
      </c>
      <c r="L4" t="s">
        <v>54</v>
      </c>
    </row>
    <row r="5" spans="1:12" x14ac:dyDescent="0.2">
      <c r="A5">
        <f t="shared" si="0"/>
        <v>4</v>
      </c>
      <c r="B5" t="s">
        <v>51</v>
      </c>
      <c r="C5" s="2" t="s">
        <v>60</v>
      </c>
      <c r="D5" t="s">
        <v>45</v>
      </c>
      <c r="E5">
        <v>0</v>
      </c>
      <c r="F5" t="s">
        <v>129</v>
      </c>
      <c r="G5" t="s">
        <v>130</v>
      </c>
      <c r="H5" t="s">
        <v>107</v>
      </c>
      <c r="I5" t="s">
        <v>107</v>
      </c>
      <c r="J5" t="s">
        <v>35</v>
      </c>
      <c r="K5" t="s">
        <v>131</v>
      </c>
      <c r="L5" t="s">
        <v>55</v>
      </c>
    </row>
    <row r="6" spans="1:12" x14ac:dyDescent="0.2">
      <c r="A6">
        <f t="shared" si="0"/>
        <v>5</v>
      </c>
      <c r="B6" t="s">
        <v>50</v>
      </c>
      <c r="C6" s="2" t="s">
        <v>60</v>
      </c>
      <c r="D6" t="s">
        <v>46</v>
      </c>
      <c r="E6">
        <v>0</v>
      </c>
      <c r="F6" t="s">
        <v>129</v>
      </c>
      <c r="G6" t="s">
        <v>130</v>
      </c>
      <c r="H6" t="s">
        <v>107</v>
      </c>
      <c r="I6" t="s">
        <v>107</v>
      </c>
      <c r="J6" t="s">
        <v>35</v>
      </c>
      <c r="K6" t="s">
        <v>131</v>
      </c>
      <c r="L6" t="s">
        <v>56</v>
      </c>
    </row>
    <row r="7" spans="1:12" x14ac:dyDescent="0.2">
      <c r="A7">
        <f t="shared" si="0"/>
        <v>6</v>
      </c>
      <c r="B7" t="s">
        <v>48</v>
      </c>
      <c r="C7" s="2" t="s">
        <v>60</v>
      </c>
      <c r="D7" t="s">
        <v>43</v>
      </c>
      <c r="E7">
        <v>0</v>
      </c>
      <c r="F7" t="s">
        <v>129</v>
      </c>
      <c r="G7" t="s">
        <v>130</v>
      </c>
      <c r="H7" t="s">
        <v>107</v>
      </c>
      <c r="I7" t="s">
        <v>107</v>
      </c>
      <c r="J7" t="s">
        <v>35</v>
      </c>
      <c r="K7" t="s">
        <v>131</v>
      </c>
      <c r="L7" t="s">
        <v>53</v>
      </c>
    </row>
    <row r="8" spans="1:12" x14ac:dyDescent="0.2">
      <c r="A8">
        <f t="shared" si="0"/>
        <v>7</v>
      </c>
      <c r="B8" t="s">
        <v>119</v>
      </c>
      <c r="C8" s="2" t="s">
        <v>60</v>
      </c>
      <c r="D8" t="s">
        <v>120</v>
      </c>
      <c r="E8">
        <v>0</v>
      </c>
      <c r="F8" t="s">
        <v>129</v>
      </c>
      <c r="G8" t="s">
        <v>130</v>
      </c>
      <c r="H8" t="s">
        <v>107</v>
      </c>
      <c r="I8" t="s">
        <v>107</v>
      </c>
      <c r="J8" t="s">
        <v>35</v>
      </c>
      <c r="K8" t="s">
        <v>131</v>
      </c>
      <c r="L8" t="s">
        <v>121</v>
      </c>
    </row>
    <row r="9" spans="1:12" x14ac:dyDescent="0.2">
      <c r="A9">
        <f t="shared" si="0"/>
        <v>8</v>
      </c>
      <c r="B9" t="s">
        <v>27</v>
      </c>
      <c r="C9" t="s">
        <v>61</v>
      </c>
      <c r="D9" t="s">
        <v>1</v>
      </c>
      <c r="E9">
        <v>250000</v>
      </c>
      <c r="F9" t="s">
        <v>148</v>
      </c>
      <c r="G9" t="s">
        <v>107</v>
      </c>
      <c r="H9" s="7" t="s">
        <v>107</v>
      </c>
      <c r="I9" s="7" t="s">
        <v>107</v>
      </c>
      <c r="J9" t="s">
        <v>36</v>
      </c>
      <c r="K9" t="s">
        <v>131</v>
      </c>
      <c r="L9" t="s">
        <v>58</v>
      </c>
    </row>
    <row r="10" spans="1:12" x14ac:dyDescent="0.2">
      <c r="A10">
        <f t="shared" si="0"/>
        <v>9</v>
      </c>
      <c r="B10" t="s">
        <v>28</v>
      </c>
      <c r="C10" t="s">
        <v>61</v>
      </c>
      <c r="D10" t="s">
        <v>2</v>
      </c>
      <c r="E10">
        <v>150000</v>
      </c>
      <c r="F10" t="s">
        <v>148</v>
      </c>
      <c r="G10" t="s">
        <v>107</v>
      </c>
      <c r="H10" s="7" t="s">
        <v>107</v>
      </c>
      <c r="I10" s="7" t="s">
        <v>107</v>
      </c>
      <c r="J10" t="s">
        <v>36</v>
      </c>
      <c r="K10" t="s">
        <v>131</v>
      </c>
      <c r="L10" t="s">
        <v>58</v>
      </c>
    </row>
    <row r="11" spans="1:12" x14ac:dyDescent="0.2">
      <c r="A11">
        <f t="shared" si="0"/>
        <v>10</v>
      </c>
      <c r="B11" t="s">
        <v>29</v>
      </c>
      <c r="C11" t="s">
        <v>61</v>
      </c>
      <c r="D11" t="s">
        <v>3</v>
      </c>
      <c r="E11">
        <v>120000</v>
      </c>
      <c r="F11" t="s">
        <v>148</v>
      </c>
      <c r="G11" t="s">
        <v>107</v>
      </c>
      <c r="H11" s="7" t="s">
        <v>107</v>
      </c>
      <c r="I11" s="7" t="s">
        <v>107</v>
      </c>
      <c r="J11" t="s">
        <v>36</v>
      </c>
      <c r="K11" t="s">
        <v>131</v>
      </c>
      <c r="L11" t="s">
        <v>58</v>
      </c>
    </row>
    <row r="12" spans="1:12" x14ac:dyDescent="0.2">
      <c r="A12">
        <f t="shared" si="0"/>
        <v>11</v>
      </c>
      <c r="B12" t="s">
        <v>150</v>
      </c>
      <c r="C12" t="s">
        <v>61</v>
      </c>
      <c r="E12">
        <v>0</v>
      </c>
      <c r="F12" t="s">
        <v>148</v>
      </c>
      <c r="G12" t="s">
        <v>113</v>
      </c>
      <c r="H12" s="7" t="s">
        <v>123</v>
      </c>
      <c r="I12" s="7" t="s">
        <v>181</v>
      </c>
      <c r="J12" t="s">
        <v>36</v>
      </c>
      <c r="K12" t="s">
        <v>131</v>
      </c>
      <c r="L12" t="s">
        <v>58</v>
      </c>
    </row>
    <row r="13" spans="1:12" x14ac:dyDescent="0.2">
      <c r="A13">
        <f t="shared" si="0"/>
        <v>12</v>
      </c>
      <c r="B13" t="s">
        <v>151</v>
      </c>
      <c r="C13" t="s">
        <v>61</v>
      </c>
      <c r="E13">
        <v>0</v>
      </c>
      <c r="F13" t="s">
        <v>148</v>
      </c>
      <c r="G13" t="s">
        <v>113</v>
      </c>
      <c r="H13" s="7" t="s">
        <v>123</v>
      </c>
      <c r="I13" s="7" t="s">
        <v>181</v>
      </c>
      <c r="J13" t="s">
        <v>36</v>
      </c>
      <c r="K13" t="s">
        <v>131</v>
      </c>
      <c r="L13" t="s">
        <v>58</v>
      </c>
    </row>
    <row r="14" spans="1:12" x14ac:dyDescent="0.2">
      <c r="A14">
        <f t="shared" si="0"/>
        <v>13</v>
      </c>
      <c r="B14" t="s">
        <v>149</v>
      </c>
      <c r="C14" t="s">
        <v>61</v>
      </c>
      <c r="E14">
        <v>0</v>
      </c>
      <c r="F14" t="s">
        <v>148</v>
      </c>
      <c r="G14" t="s">
        <v>113</v>
      </c>
      <c r="H14" s="7" t="s">
        <v>123</v>
      </c>
      <c r="I14" s="7" t="s">
        <v>181</v>
      </c>
      <c r="J14" t="s">
        <v>36</v>
      </c>
      <c r="K14" t="s">
        <v>131</v>
      </c>
      <c r="L14" t="s">
        <v>58</v>
      </c>
    </row>
    <row r="15" spans="1:12" x14ac:dyDescent="0.2">
      <c r="A15">
        <f t="shared" si="0"/>
        <v>14</v>
      </c>
      <c r="B15" t="s">
        <v>155</v>
      </c>
      <c r="C15" t="s">
        <v>60</v>
      </c>
      <c r="D15" t="s">
        <v>156</v>
      </c>
      <c r="E15">
        <v>1</v>
      </c>
      <c r="F15" t="s">
        <v>152</v>
      </c>
      <c r="G15" t="s">
        <v>113</v>
      </c>
      <c r="H15" s="7" t="s">
        <v>123</v>
      </c>
      <c r="I15" s="7" t="s">
        <v>107</v>
      </c>
      <c r="J15" t="s">
        <v>35</v>
      </c>
      <c r="K15" t="s">
        <v>131</v>
      </c>
      <c r="L15" t="s">
        <v>176</v>
      </c>
    </row>
    <row r="16" spans="1:12" x14ac:dyDescent="0.2">
      <c r="A16">
        <f t="shared" si="0"/>
        <v>15</v>
      </c>
      <c r="B16" t="s">
        <v>20</v>
      </c>
      <c r="C16" t="s">
        <v>157</v>
      </c>
      <c r="D16" t="s">
        <v>0</v>
      </c>
      <c r="E16">
        <v>12</v>
      </c>
      <c r="F16" t="s">
        <v>152</v>
      </c>
      <c r="G16" t="s">
        <v>107</v>
      </c>
      <c r="H16" s="7" t="s">
        <v>107</v>
      </c>
      <c r="I16" s="7" t="s">
        <v>107</v>
      </c>
      <c r="J16" t="s">
        <v>35</v>
      </c>
      <c r="K16" t="s">
        <v>131</v>
      </c>
      <c r="L16" t="s">
        <v>101</v>
      </c>
    </row>
    <row r="17" spans="1:12" ht="17" x14ac:dyDescent="0.2">
      <c r="A17">
        <f t="shared" si="0"/>
        <v>16</v>
      </c>
      <c r="B17" t="s">
        <v>122</v>
      </c>
      <c r="C17" s="2" t="s">
        <v>60</v>
      </c>
      <c r="D17" t="s">
        <v>147</v>
      </c>
      <c r="E17">
        <v>0</v>
      </c>
      <c r="F17" t="s">
        <v>152</v>
      </c>
      <c r="G17" t="s">
        <v>107</v>
      </c>
      <c r="H17" s="3" t="s">
        <v>107</v>
      </c>
      <c r="I17" s="7" t="s">
        <v>107</v>
      </c>
      <c r="J17" t="s">
        <v>35</v>
      </c>
      <c r="K17" t="s">
        <v>131</v>
      </c>
      <c r="L17" t="s">
        <v>124</v>
      </c>
    </row>
    <row r="18" spans="1:12" x14ac:dyDescent="0.2">
      <c r="A18">
        <f t="shared" si="0"/>
        <v>17</v>
      </c>
      <c r="B18" t="s">
        <v>21</v>
      </c>
      <c r="C18" t="s">
        <v>158</v>
      </c>
      <c r="D18" t="s">
        <v>4</v>
      </c>
      <c r="E18">
        <v>1E-3</v>
      </c>
      <c r="F18" t="s">
        <v>152</v>
      </c>
      <c r="G18" t="s">
        <v>107</v>
      </c>
      <c r="H18" s="7" t="s">
        <v>107</v>
      </c>
      <c r="I18" s="7" t="s">
        <v>107</v>
      </c>
      <c r="J18" t="s">
        <v>37</v>
      </c>
      <c r="K18" t="s">
        <v>131</v>
      </c>
      <c r="L18" t="s">
        <v>102</v>
      </c>
    </row>
    <row r="19" spans="1:12" x14ac:dyDescent="0.2">
      <c r="A19">
        <f t="shared" si="0"/>
        <v>18</v>
      </c>
      <c r="B19" t="s">
        <v>31</v>
      </c>
      <c r="C19" t="s">
        <v>158</v>
      </c>
      <c r="D19" t="s">
        <v>5</v>
      </c>
      <c r="E19">
        <v>20</v>
      </c>
      <c r="F19" t="s">
        <v>152</v>
      </c>
      <c r="G19" t="s">
        <v>107</v>
      </c>
      <c r="H19" s="7" t="s">
        <v>107</v>
      </c>
      <c r="I19" s="7" t="s">
        <v>107</v>
      </c>
      <c r="J19" t="s">
        <v>35</v>
      </c>
      <c r="K19" t="s">
        <v>131</v>
      </c>
      <c r="L19" t="s">
        <v>103</v>
      </c>
    </row>
    <row r="20" spans="1:12" x14ac:dyDescent="0.2">
      <c r="A20">
        <f t="shared" ref="A20:A55" si="1">A19+1</f>
        <v>19</v>
      </c>
      <c r="B20" t="s">
        <v>22</v>
      </c>
      <c r="C20" t="s">
        <v>158</v>
      </c>
      <c r="D20" t="s">
        <v>7</v>
      </c>
      <c r="E20">
        <v>20</v>
      </c>
      <c r="F20" t="s">
        <v>152</v>
      </c>
      <c r="G20" t="s">
        <v>107</v>
      </c>
      <c r="H20" s="7" t="s">
        <v>107</v>
      </c>
      <c r="I20" s="7" t="s">
        <v>107</v>
      </c>
      <c r="J20" t="s">
        <v>36</v>
      </c>
      <c r="K20" t="s">
        <v>131</v>
      </c>
      <c r="L20" t="s">
        <v>104</v>
      </c>
    </row>
    <row r="21" spans="1:12" x14ac:dyDescent="0.2">
      <c r="A21">
        <f t="shared" si="1"/>
        <v>20</v>
      </c>
      <c r="B21" t="s">
        <v>23</v>
      </c>
      <c r="C21" t="s">
        <v>158</v>
      </c>
      <c r="D21" t="s">
        <v>8</v>
      </c>
      <c r="E21">
        <v>100</v>
      </c>
      <c r="F21" t="s">
        <v>153</v>
      </c>
      <c r="G21" t="s">
        <v>108</v>
      </c>
      <c r="H21" t="s">
        <v>132</v>
      </c>
      <c r="I21" t="s">
        <v>132</v>
      </c>
      <c r="J21" t="s">
        <v>36</v>
      </c>
      <c r="K21" t="s">
        <v>131</v>
      </c>
      <c r="L21" t="s">
        <v>87</v>
      </c>
    </row>
    <row r="22" spans="1:12" x14ac:dyDescent="0.2">
      <c r="A22">
        <f t="shared" si="1"/>
        <v>21</v>
      </c>
      <c r="B22" t="s">
        <v>24</v>
      </c>
      <c r="C22" t="s">
        <v>158</v>
      </c>
      <c r="D22" t="s">
        <v>9</v>
      </c>
      <c r="E22">
        <v>0</v>
      </c>
      <c r="F22" t="s">
        <v>153</v>
      </c>
      <c r="G22" t="s">
        <v>108</v>
      </c>
      <c r="H22" t="s">
        <v>132</v>
      </c>
      <c r="I22" t="s">
        <v>132</v>
      </c>
      <c r="J22" t="s">
        <v>36</v>
      </c>
      <c r="K22" t="s">
        <v>131</v>
      </c>
      <c r="L22" t="s">
        <v>88</v>
      </c>
    </row>
    <row r="23" spans="1:12" x14ac:dyDescent="0.2">
      <c r="A23">
        <f t="shared" si="1"/>
        <v>22</v>
      </c>
      <c r="B23" t="s">
        <v>33</v>
      </c>
      <c r="C23" t="s">
        <v>158</v>
      </c>
      <c r="D23" t="s">
        <v>10</v>
      </c>
      <c r="E23">
        <v>1</v>
      </c>
      <c r="F23" t="s">
        <v>153</v>
      </c>
      <c r="G23" t="s">
        <v>108</v>
      </c>
      <c r="H23" t="s">
        <v>132</v>
      </c>
      <c r="I23" t="s">
        <v>132</v>
      </c>
      <c r="J23" t="s">
        <v>35</v>
      </c>
      <c r="K23" t="s">
        <v>131</v>
      </c>
      <c r="L23" t="s">
        <v>89</v>
      </c>
    </row>
    <row r="24" spans="1:12" x14ac:dyDescent="0.2">
      <c r="A24">
        <f t="shared" si="1"/>
        <v>23</v>
      </c>
      <c r="B24" t="s">
        <v>26</v>
      </c>
      <c r="C24" t="s">
        <v>158</v>
      </c>
      <c r="D24" t="s">
        <v>11</v>
      </c>
      <c r="E24">
        <v>1.4</v>
      </c>
      <c r="F24" t="s">
        <v>153</v>
      </c>
      <c r="G24" t="s">
        <v>108</v>
      </c>
      <c r="H24" t="s">
        <v>132</v>
      </c>
      <c r="I24" t="s">
        <v>132</v>
      </c>
      <c r="J24" t="s">
        <v>35</v>
      </c>
      <c r="K24" t="s">
        <v>131</v>
      </c>
      <c r="L24" t="s">
        <v>90</v>
      </c>
    </row>
    <row r="25" spans="1:12" x14ac:dyDescent="0.2">
      <c r="A25">
        <f t="shared" si="1"/>
        <v>24</v>
      </c>
      <c r="B25" t="s">
        <v>25</v>
      </c>
      <c r="C25" t="s">
        <v>158</v>
      </c>
      <c r="D25" t="s">
        <v>6</v>
      </c>
      <c r="E25">
        <v>1</v>
      </c>
      <c r="F25" t="s">
        <v>153</v>
      </c>
      <c r="G25" t="s">
        <v>108</v>
      </c>
      <c r="H25" t="s">
        <v>132</v>
      </c>
      <c r="I25" t="s">
        <v>132</v>
      </c>
      <c r="J25" t="s">
        <v>35</v>
      </c>
      <c r="K25" t="s">
        <v>131</v>
      </c>
      <c r="L25" t="s">
        <v>91</v>
      </c>
    </row>
    <row r="26" spans="1:12" x14ac:dyDescent="0.2">
      <c r="A26">
        <f t="shared" si="1"/>
        <v>25</v>
      </c>
      <c r="B26" t="s">
        <v>57</v>
      </c>
      <c r="C26" t="s">
        <v>157</v>
      </c>
      <c r="D26" t="s">
        <v>19</v>
      </c>
      <c r="E26">
        <v>48</v>
      </c>
      <c r="F26" t="s">
        <v>154</v>
      </c>
      <c r="G26" t="s">
        <v>108</v>
      </c>
      <c r="H26" t="s">
        <v>133</v>
      </c>
      <c r="I26" t="s">
        <v>133</v>
      </c>
      <c r="J26" t="s">
        <v>35</v>
      </c>
      <c r="K26" t="s">
        <v>131</v>
      </c>
      <c r="L26" t="s">
        <v>92</v>
      </c>
    </row>
    <row r="27" spans="1:12" x14ac:dyDescent="0.2">
      <c r="A27">
        <f t="shared" si="1"/>
        <v>26</v>
      </c>
      <c r="B27" t="s">
        <v>141</v>
      </c>
      <c r="C27" t="s">
        <v>158</v>
      </c>
      <c r="D27" t="s">
        <v>12</v>
      </c>
      <c r="E27">
        <v>1</v>
      </c>
      <c r="F27" t="s">
        <v>154</v>
      </c>
      <c r="G27" t="s">
        <v>108</v>
      </c>
      <c r="H27" t="s">
        <v>133</v>
      </c>
      <c r="I27" t="s">
        <v>133</v>
      </c>
      <c r="J27" t="s">
        <v>36</v>
      </c>
      <c r="K27" t="s">
        <v>131</v>
      </c>
      <c r="L27" t="s">
        <v>143</v>
      </c>
    </row>
    <row r="28" spans="1:12" x14ac:dyDescent="0.2">
      <c r="A28">
        <f t="shared" si="1"/>
        <v>27</v>
      </c>
      <c r="B28" t="s">
        <v>142</v>
      </c>
      <c r="C28" t="s">
        <v>158</v>
      </c>
      <c r="D28" t="s">
        <v>13</v>
      </c>
      <c r="E28">
        <v>1</v>
      </c>
      <c r="F28" t="s">
        <v>154</v>
      </c>
      <c r="G28" t="s">
        <v>108</v>
      </c>
      <c r="H28" t="s">
        <v>133</v>
      </c>
      <c r="I28" t="s">
        <v>133</v>
      </c>
      <c r="J28" t="s">
        <v>36</v>
      </c>
      <c r="K28" t="s">
        <v>131</v>
      </c>
      <c r="L28" t="s">
        <v>144</v>
      </c>
    </row>
    <row r="29" spans="1:12" x14ac:dyDescent="0.2">
      <c r="A29">
        <f t="shared" si="1"/>
        <v>28</v>
      </c>
      <c r="B29" t="s">
        <v>30</v>
      </c>
      <c r="C29" t="s">
        <v>158</v>
      </c>
      <c r="D29" t="s">
        <v>18</v>
      </c>
      <c r="E29">
        <v>0</v>
      </c>
      <c r="F29" t="s">
        <v>154</v>
      </c>
      <c r="G29" t="s">
        <v>108</v>
      </c>
      <c r="H29" t="s">
        <v>146</v>
      </c>
      <c r="I29" t="s">
        <v>133</v>
      </c>
      <c r="J29" t="s">
        <v>35</v>
      </c>
      <c r="K29" t="s">
        <v>131</v>
      </c>
      <c r="L29" t="s">
        <v>93</v>
      </c>
    </row>
    <row r="30" spans="1:12" x14ac:dyDescent="0.2">
      <c r="A30">
        <f t="shared" si="1"/>
        <v>29</v>
      </c>
      <c r="B30" t="s">
        <v>39</v>
      </c>
      <c r="C30" t="s">
        <v>158</v>
      </c>
      <c r="D30" t="s">
        <v>14</v>
      </c>
      <c r="E30">
        <v>1</v>
      </c>
      <c r="F30" t="s">
        <v>154</v>
      </c>
      <c r="G30" t="s">
        <v>108</v>
      </c>
      <c r="H30" t="s">
        <v>134</v>
      </c>
      <c r="I30" t="s">
        <v>145</v>
      </c>
      <c r="J30" t="s">
        <v>36</v>
      </c>
      <c r="K30" t="s">
        <v>131</v>
      </c>
      <c r="L30" t="s">
        <v>94</v>
      </c>
    </row>
    <row r="31" spans="1:12" x14ac:dyDescent="0.2">
      <c r="A31">
        <f t="shared" si="1"/>
        <v>30</v>
      </c>
      <c r="B31" t="s">
        <v>40</v>
      </c>
      <c r="C31" t="s">
        <v>158</v>
      </c>
      <c r="D31" t="s">
        <v>15</v>
      </c>
      <c r="E31">
        <v>1</v>
      </c>
      <c r="F31" t="s">
        <v>154</v>
      </c>
      <c r="G31" t="s">
        <v>108</v>
      </c>
      <c r="H31" t="s">
        <v>134</v>
      </c>
      <c r="I31" t="s">
        <v>145</v>
      </c>
      <c r="J31" t="s">
        <v>35</v>
      </c>
      <c r="K31" t="s">
        <v>131</v>
      </c>
      <c r="L31" t="s">
        <v>95</v>
      </c>
    </row>
    <row r="32" spans="1:12" x14ac:dyDescent="0.2">
      <c r="A32">
        <f t="shared" si="1"/>
        <v>31</v>
      </c>
      <c r="B32" t="s">
        <v>41</v>
      </c>
      <c r="C32" t="s">
        <v>158</v>
      </c>
      <c r="D32" t="s">
        <v>16</v>
      </c>
      <c r="E32">
        <v>1</v>
      </c>
      <c r="F32" t="s">
        <v>154</v>
      </c>
      <c r="G32" t="s">
        <v>108</v>
      </c>
      <c r="H32" t="s">
        <v>134</v>
      </c>
      <c r="I32" t="s">
        <v>145</v>
      </c>
      <c r="J32" t="s">
        <v>36</v>
      </c>
      <c r="K32" t="s">
        <v>131</v>
      </c>
      <c r="L32" t="s">
        <v>96</v>
      </c>
    </row>
    <row r="33" spans="1:12" x14ac:dyDescent="0.2">
      <c r="A33">
        <f t="shared" si="1"/>
        <v>32</v>
      </c>
      <c r="B33" t="s">
        <v>42</v>
      </c>
      <c r="C33" t="s">
        <v>158</v>
      </c>
      <c r="D33" t="s">
        <v>17</v>
      </c>
      <c r="E33">
        <v>1</v>
      </c>
      <c r="F33" t="s">
        <v>154</v>
      </c>
      <c r="G33" t="s">
        <v>108</v>
      </c>
      <c r="H33" t="s">
        <v>134</v>
      </c>
      <c r="I33" t="s">
        <v>145</v>
      </c>
      <c r="J33" t="s">
        <v>35</v>
      </c>
      <c r="K33" t="s">
        <v>131</v>
      </c>
      <c r="L33" t="s">
        <v>97</v>
      </c>
    </row>
    <row r="34" spans="1:12" x14ac:dyDescent="0.2">
      <c r="A34">
        <f t="shared" si="1"/>
        <v>33</v>
      </c>
      <c r="B34" t="s">
        <v>160</v>
      </c>
      <c r="C34" t="s">
        <v>60</v>
      </c>
      <c r="D34" t="s">
        <v>159</v>
      </c>
      <c r="E34">
        <v>1</v>
      </c>
      <c r="F34" t="s">
        <v>137</v>
      </c>
      <c r="G34" t="s">
        <v>113</v>
      </c>
      <c r="H34" t="s">
        <v>123</v>
      </c>
      <c r="I34" t="s">
        <v>140</v>
      </c>
      <c r="J34" t="s">
        <v>35</v>
      </c>
      <c r="K34" t="s">
        <v>131</v>
      </c>
      <c r="L34" t="s">
        <v>161</v>
      </c>
    </row>
    <row r="35" spans="1:12" x14ac:dyDescent="0.2">
      <c r="A35">
        <f t="shared" si="1"/>
        <v>34</v>
      </c>
      <c r="B35" t="s">
        <v>32</v>
      </c>
      <c r="C35" t="s">
        <v>162</v>
      </c>
      <c r="D35" t="s">
        <v>114</v>
      </c>
      <c r="E35">
        <v>0</v>
      </c>
      <c r="F35" t="s">
        <v>137</v>
      </c>
      <c r="G35" t="s">
        <v>108</v>
      </c>
      <c r="H35" t="s">
        <v>140</v>
      </c>
      <c r="I35" t="s">
        <v>140</v>
      </c>
      <c r="J35" t="s">
        <v>38</v>
      </c>
      <c r="K35" t="s">
        <v>131</v>
      </c>
      <c r="L35" t="s">
        <v>98</v>
      </c>
    </row>
    <row r="36" spans="1:12" x14ac:dyDescent="0.2">
      <c r="A36">
        <f t="shared" si="1"/>
        <v>35</v>
      </c>
      <c r="B36" t="s">
        <v>165</v>
      </c>
      <c r="C36" t="s">
        <v>162</v>
      </c>
      <c r="D36" t="s">
        <v>165</v>
      </c>
      <c r="E36">
        <v>0</v>
      </c>
      <c r="F36" t="s">
        <v>137</v>
      </c>
      <c r="G36" t="s">
        <v>113</v>
      </c>
      <c r="H36" t="s">
        <v>123</v>
      </c>
      <c r="I36" t="s">
        <v>140</v>
      </c>
      <c r="J36" t="s">
        <v>126</v>
      </c>
      <c r="K36" t="s">
        <v>131</v>
      </c>
      <c r="L36" t="s">
        <v>177</v>
      </c>
    </row>
    <row r="37" spans="1:12" x14ac:dyDescent="0.2">
      <c r="A37">
        <f t="shared" si="1"/>
        <v>36</v>
      </c>
      <c r="B37" t="s">
        <v>166</v>
      </c>
      <c r="C37" t="s">
        <v>162</v>
      </c>
      <c r="D37" t="s">
        <v>166</v>
      </c>
      <c r="E37">
        <v>0</v>
      </c>
      <c r="F37" t="s">
        <v>137</v>
      </c>
      <c r="G37" t="s">
        <v>113</v>
      </c>
      <c r="H37" t="s">
        <v>123</v>
      </c>
      <c r="I37" t="s">
        <v>140</v>
      </c>
      <c r="J37" t="s">
        <v>126</v>
      </c>
      <c r="K37" t="s">
        <v>131</v>
      </c>
      <c r="L37" t="s">
        <v>177</v>
      </c>
    </row>
    <row r="38" spans="1:12" x14ac:dyDescent="0.2">
      <c r="A38">
        <f t="shared" si="1"/>
        <v>37</v>
      </c>
      <c r="B38" t="s">
        <v>167</v>
      </c>
      <c r="C38" t="s">
        <v>162</v>
      </c>
      <c r="D38" t="s">
        <v>167</v>
      </c>
      <c r="E38">
        <v>0</v>
      </c>
      <c r="F38" t="s">
        <v>137</v>
      </c>
      <c r="G38" t="s">
        <v>113</v>
      </c>
      <c r="H38" t="s">
        <v>123</v>
      </c>
      <c r="I38" t="s">
        <v>140</v>
      </c>
      <c r="J38" t="s">
        <v>126</v>
      </c>
      <c r="K38" t="s">
        <v>131</v>
      </c>
      <c r="L38" t="s">
        <v>177</v>
      </c>
    </row>
    <row r="39" spans="1:12" x14ac:dyDescent="0.2">
      <c r="A39">
        <f t="shared" si="1"/>
        <v>38</v>
      </c>
      <c r="B39" t="s">
        <v>168</v>
      </c>
      <c r="C39" t="s">
        <v>162</v>
      </c>
      <c r="E39">
        <v>0</v>
      </c>
      <c r="F39" t="s">
        <v>137</v>
      </c>
      <c r="G39" t="s">
        <v>113</v>
      </c>
      <c r="H39" t="s">
        <v>123</v>
      </c>
      <c r="I39" t="s">
        <v>140</v>
      </c>
      <c r="K39" t="s">
        <v>131</v>
      </c>
      <c r="L39" t="s">
        <v>178</v>
      </c>
    </row>
    <row r="40" spans="1:12" x14ac:dyDescent="0.2">
      <c r="A40">
        <f t="shared" si="1"/>
        <v>39</v>
      </c>
      <c r="B40" t="s">
        <v>169</v>
      </c>
      <c r="C40" t="s">
        <v>162</v>
      </c>
      <c r="D40" t="s">
        <v>179</v>
      </c>
      <c r="E40">
        <v>0</v>
      </c>
      <c r="F40" t="s">
        <v>137</v>
      </c>
      <c r="G40" t="s">
        <v>113</v>
      </c>
      <c r="H40" t="s">
        <v>123</v>
      </c>
      <c r="I40" t="s">
        <v>140</v>
      </c>
      <c r="J40" t="s">
        <v>126</v>
      </c>
      <c r="K40" t="s">
        <v>131</v>
      </c>
      <c r="L40" t="s">
        <v>128</v>
      </c>
    </row>
    <row r="41" spans="1:12" x14ac:dyDescent="0.2">
      <c r="A41">
        <f t="shared" si="1"/>
        <v>40</v>
      </c>
      <c r="B41" t="s">
        <v>170</v>
      </c>
      <c r="C41" t="s">
        <v>162</v>
      </c>
      <c r="E41">
        <v>0</v>
      </c>
      <c r="F41" t="s">
        <v>137</v>
      </c>
      <c r="G41" t="s">
        <v>113</v>
      </c>
      <c r="H41" t="s">
        <v>123</v>
      </c>
      <c r="I41" t="s">
        <v>140</v>
      </c>
      <c r="J41" t="s">
        <v>126</v>
      </c>
      <c r="K41" t="s">
        <v>131</v>
      </c>
      <c r="L41" t="s">
        <v>127</v>
      </c>
    </row>
    <row r="42" spans="1:12" x14ac:dyDescent="0.2">
      <c r="A42">
        <f t="shared" si="1"/>
        <v>41</v>
      </c>
      <c r="B42" t="s">
        <v>171</v>
      </c>
      <c r="C42" t="s">
        <v>162</v>
      </c>
      <c r="E42">
        <v>0</v>
      </c>
      <c r="F42" t="s">
        <v>137</v>
      </c>
      <c r="G42" t="s">
        <v>113</v>
      </c>
      <c r="H42" t="s">
        <v>123</v>
      </c>
      <c r="I42" t="s">
        <v>140</v>
      </c>
      <c r="J42" t="s">
        <v>175</v>
      </c>
      <c r="K42" t="s">
        <v>131</v>
      </c>
    </row>
    <row r="43" spans="1:12" x14ac:dyDescent="0.2">
      <c r="A43">
        <f t="shared" si="1"/>
        <v>42</v>
      </c>
      <c r="B43" t="s">
        <v>172</v>
      </c>
      <c r="C43" t="s">
        <v>162</v>
      </c>
      <c r="E43">
        <v>0</v>
      </c>
      <c r="F43" t="s">
        <v>137</v>
      </c>
      <c r="G43" t="s">
        <v>113</v>
      </c>
      <c r="H43" t="s">
        <v>123</v>
      </c>
      <c r="I43" t="s">
        <v>140</v>
      </c>
      <c r="J43" t="s">
        <v>175</v>
      </c>
      <c r="K43" t="s">
        <v>131</v>
      </c>
    </row>
    <row r="44" spans="1:12" x14ac:dyDescent="0.2">
      <c r="A44">
        <f t="shared" si="1"/>
        <v>43</v>
      </c>
      <c r="B44" t="s">
        <v>173</v>
      </c>
      <c r="C44" t="s">
        <v>162</v>
      </c>
      <c r="D44" t="s">
        <v>180</v>
      </c>
      <c r="E44">
        <v>0</v>
      </c>
      <c r="F44" t="s">
        <v>137</v>
      </c>
      <c r="G44" t="s">
        <v>113</v>
      </c>
      <c r="H44" t="s">
        <v>123</v>
      </c>
      <c r="I44" t="s">
        <v>140</v>
      </c>
      <c r="J44" t="s">
        <v>126</v>
      </c>
      <c r="K44" t="s">
        <v>131</v>
      </c>
    </row>
    <row r="45" spans="1:12" x14ac:dyDescent="0.2">
      <c r="A45">
        <f t="shared" si="1"/>
        <v>44</v>
      </c>
      <c r="B45" t="s">
        <v>174</v>
      </c>
      <c r="C45" t="s">
        <v>162</v>
      </c>
      <c r="E45">
        <v>0</v>
      </c>
      <c r="F45" t="s">
        <v>137</v>
      </c>
      <c r="G45" t="s">
        <v>113</v>
      </c>
      <c r="H45" t="s">
        <v>123</v>
      </c>
      <c r="I45" t="s">
        <v>140</v>
      </c>
      <c r="J45" t="s">
        <v>126</v>
      </c>
      <c r="K45" t="s">
        <v>131</v>
      </c>
    </row>
    <row r="46" spans="1:12" x14ac:dyDescent="0.2">
      <c r="A46">
        <f t="shared" si="1"/>
        <v>45</v>
      </c>
      <c r="B46" t="s">
        <v>65</v>
      </c>
      <c r="C46" t="s">
        <v>61</v>
      </c>
      <c r="D46" t="s">
        <v>66</v>
      </c>
      <c r="E46">
        <v>0</v>
      </c>
      <c r="F46" t="s">
        <v>135</v>
      </c>
      <c r="G46" t="s">
        <v>108</v>
      </c>
      <c r="H46" t="s">
        <v>138</v>
      </c>
      <c r="I46" t="s">
        <v>138</v>
      </c>
      <c r="J46" t="s">
        <v>36</v>
      </c>
      <c r="K46" t="s">
        <v>131</v>
      </c>
      <c r="L46" t="s">
        <v>112</v>
      </c>
    </row>
    <row r="47" spans="1:12" x14ac:dyDescent="0.2">
      <c r="A47">
        <f t="shared" si="1"/>
        <v>46</v>
      </c>
      <c r="B47" t="s">
        <v>67</v>
      </c>
      <c r="C47" t="s">
        <v>61</v>
      </c>
      <c r="D47" t="s">
        <v>68</v>
      </c>
      <c r="E47">
        <v>0</v>
      </c>
      <c r="F47" t="s">
        <v>135</v>
      </c>
      <c r="G47" t="s">
        <v>108</v>
      </c>
      <c r="H47" t="s">
        <v>138</v>
      </c>
      <c r="I47" t="s">
        <v>138</v>
      </c>
      <c r="J47" t="s">
        <v>35</v>
      </c>
      <c r="K47" t="s">
        <v>131</v>
      </c>
      <c r="L47" t="s">
        <v>100</v>
      </c>
    </row>
    <row r="48" spans="1:12" x14ac:dyDescent="0.2">
      <c r="A48">
        <f t="shared" si="1"/>
        <v>47</v>
      </c>
      <c r="B48" t="s">
        <v>69</v>
      </c>
      <c r="C48" t="s">
        <v>61</v>
      </c>
      <c r="D48" t="s">
        <v>70</v>
      </c>
      <c r="E48">
        <v>0</v>
      </c>
      <c r="F48" t="s">
        <v>135</v>
      </c>
      <c r="G48" t="s">
        <v>108</v>
      </c>
      <c r="H48" t="s">
        <v>138</v>
      </c>
      <c r="I48" t="s">
        <v>138</v>
      </c>
      <c r="J48" t="s">
        <v>35</v>
      </c>
      <c r="K48" t="s">
        <v>131</v>
      </c>
      <c r="L48" t="s">
        <v>99</v>
      </c>
    </row>
    <row r="49" spans="1:12" s="1" customFormat="1" ht="17" x14ac:dyDescent="0.2">
      <c r="A49">
        <f t="shared" si="1"/>
        <v>48</v>
      </c>
      <c r="B49" s="3" t="s">
        <v>71</v>
      </c>
      <c r="C49" s="3" t="s">
        <v>60</v>
      </c>
      <c r="D49" s="3" t="s">
        <v>72</v>
      </c>
      <c r="E49" s="5">
        <v>1</v>
      </c>
      <c r="F49" t="s">
        <v>136</v>
      </c>
      <c r="G49" s="5" t="s">
        <v>113</v>
      </c>
      <c r="H49" t="s">
        <v>123</v>
      </c>
      <c r="I49" t="s">
        <v>139</v>
      </c>
      <c r="J49" t="s">
        <v>35</v>
      </c>
      <c r="K49" t="s">
        <v>131</v>
      </c>
      <c r="L49" s="4" t="s">
        <v>125</v>
      </c>
    </row>
    <row r="50" spans="1:12" x14ac:dyDescent="0.2">
      <c r="A50">
        <f t="shared" si="1"/>
        <v>49</v>
      </c>
      <c r="B50" t="s">
        <v>75</v>
      </c>
      <c r="C50" t="s">
        <v>61</v>
      </c>
      <c r="D50" t="s">
        <v>75</v>
      </c>
      <c r="E50">
        <v>0.01</v>
      </c>
      <c r="F50" t="s">
        <v>136</v>
      </c>
      <c r="G50" t="s">
        <v>108</v>
      </c>
      <c r="H50" t="s">
        <v>139</v>
      </c>
      <c r="I50" t="s">
        <v>139</v>
      </c>
      <c r="K50" t="s">
        <v>131</v>
      </c>
      <c r="L50" t="s">
        <v>80</v>
      </c>
    </row>
    <row r="51" spans="1:12" x14ac:dyDescent="0.2">
      <c r="A51">
        <f t="shared" si="1"/>
        <v>50</v>
      </c>
      <c r="B51" t="s">
        <v>76</v>
      </c>
      <c r="C51" t="s">
        <v>61</v>
      </c>
      <c r="D51" t="s">
        <v>76</v>
      </c>
      <c r="E51" s="6">
        <v>1.0000000000000001E-9</v>
      </c>
      <c r="F51" t="s">
        <v>136</v>
      </c>
      <c r="G51" s="6" t="s">
        <v>108</v>
      </c>
      <c r="H51" t="s">
        <v>139</v>
      </c>
      <c r="I51" t="s">
        <v>139</v>
      </c>
      <c r="J51" t="s">
        <v>84</v>
      </c>
      <c r="K51" t="s">
        <v>131</v>
      </c>
      <c r="L51" t="s">
        <v>83</v>
      </c>
    </row>
    <row r="52" spans="1:12" x14ac:dyDescent="0.2">
      <c r="A52">
        <f t="shared" si="1"/>
        <v>51</v>
      </c>
      <c r="B52" t="s">
        <v>73</v>
      </c>
      <c r="C52" t="s">
        <v>60</v>
      </c>
      <c r="D52" t="s">
        <v>73</v>
      </c>
      <c r="E52">
        <v>1</v>
      </c>
      <c r="F52" t="s">
        <v>136</v>
      </c>
      <c r="G52" t="s">
        <v>113</v>
      </c>
      <c r="H52" t="s">
        <v>123</v>
      </c>
      <c r="I52" t="s">
        <v>139</v>
      </c>
      <c r="J52" t="s">
        <v>35</v>
      </c>
      <c r="K52" t="s">
        <v>131</v>
      </c>
      <c r="L52" t="s">
        <v>81</v>
      </c>
    </row>
    <row r="53" spans="1:12" x14ac:dyDescent="0.2">
      <c r="A53">
        <f t="shared" si="1"/>
        <v>52</v>
      </c>
      <c r="B53" t="s">
        <v>74</v>
      </c>
      <c r="C53" t="s">
        <v>60</v>
      </c>
      <c r="D53" t="s">
        <v>74</v>
      </c>
      <c r="E53">
        <v>1</v>
      </c>
      <c r="F53" t="s">
        <v>136</v>
      </c>
      <c r="G53" t="s">
        <v>113</v>
      </c>
      <c r="H53" t="s">
        <v>123</v>
      </c>
      <c r="I53" t="s">
        <v>139</v>
      </c>
      <c r="J53" t="s">
        <v>79</v>
      </c>
      <c r="K53" t="s">
        <v>131</v>
      </c>
      <c r="L53" t="s">
        <v>82</v>
      </c>
    </row>
    <row r="54" spans="1:12" x14ac:dyDescent="0.2">
      <c r="A54">
        <f t="shared" si="1"/>
        <v>53</v>
      </c>
      <c r="B54" t="s">
        <v>77</v>
      </c>
      <c r="C54" t="s">
        <v>61</v>
      </c>
      <c r="D54" t="s">
        <v>77</v>
      </c>
      <c r="E54" s="6">
        <v>9.9999999999999995E-7</v>
      </c>
      <c r="F54" t="s">
        <v>136</v>
      </c>
      <c r="G54" s="6" t="s">
        <v>113</v>
      </c>
      <c r="H54" t="s">
        <v>123</v>
      </c>
      <c r="I54" t="s">
        <v>139</v>
      </c>
      <c r="J54" t="s">
        <v>84</v>
      </c>
      <c r="K54" t="s">
        <v>131</v>
      </c>
      <c r="L54" t="s">
        <v>85</v>
      </c>
    </row>
    <row r="55" spans="1:12" x14ac:dyDescent="0.2">
      <c r="A55">
        <f t="shared" si="1"/>
        <v>54</v>
      </c>
      <c r="B55" t="s">
        <v>78</v>
      </c>
      <c r="C55" t="s">
        <v>61</v>
      </c>
      <c r="D55" t="s">
        <v>78</v>
      </c>
      <c r="E55" s="6">
        <v>2.5000000000000002E-10</v>
      </c>
      <c r="F55" t="s">
        <v>136</v>
      </c>
      <c r="G55" s="6" t="s">
        <v>113</v>
      </c>
      <c r="H55" t="s">
        <v>123</v>
      </c>
      <c r="I55" t="s">
        <v>139</v>
      </c>
      <c r="J55" t="s">
        <v>84</v>
      </c>
      <c r="K55" t="s">
        <v>131</v>
      </c>
      <c r="L5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mapping</vt:lpstr>
      <vt:lpstr>mapping!dummy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Hartmaier</dc:creator>
  <cp:lastModifiedBy>Alexander Hartmaier</cp:lastModifiedBy>
  <dcterms:created xsi:type="dcterms:W3CDTF">2026-04-10T19:18:34Z</dcterms:created>
  <dcterms:modified xsi:type="dcterms:W3CDTF">2026-04-18T06:02:53Z</dcterms:modified>
</cp:coreProperties>
</file>